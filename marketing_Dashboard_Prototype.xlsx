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CCE16ED-11F6-484E-98A2-32CFCD887275}" xr6:coauthVersionLast="47" xr6:coauthVersionMax="47" xr10:uidLastSave="{00000000-0000-0000-0000-000000000000}"/>
  <bookViews>
    <workbookView xWindow="-107" yWindow="-107" windowWidth="20847" windowHeight="11111" activeTab="1" xr2:uid="{1D65DA5A-7269-4792-84D5-38B092136D82}"/>
  </bookViews>
  <sheets>
    <sheet name="Analysis" sheetId="3" r:id="rId1"/>
    <sheet name="Dashboard Prototype" sheetId="4" r:id="rId2"/>
    <sheet name="Raw Data" sheetId="1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B3" i="4"/>
  <c r="F3" i="4" l="1"/>
</calcChain>
</file>

<file path=xl/sharedStrings.xml><?xml version="1.0" encoding="utf-8"?>
<sst xmlns="http://schemas.openxmlformats.org/spreadsheetml/2006/main" count="63" uniqueCount="24">
  <si>
    <t>Date</t>
  </si>
  <si>
    <t>Channel</t>
  </si>
  <si>
    <t>Impressions</t>
  </si>
  <si>
    <t>Clicks</t>
  </si>
  <si>
    <t>Cost</t>
  </si>
  <si>
    <t>Conversions</t>
  </si>
  <si>
    <t>Revenue</t>
  </si>
  <si>
    <t>Google Ads</t>
  </si>
  <si>
    <t>Facebook Ads</t>
  </si>
  <si>
    <t>LinkedIn Ads</t>
  </si>
  <si>
    <t>Row Labels</t>
  </si>
  <si>
    <t>Grand Total</t>
  </si>
  <si>
    <t>Sum of Cost</t>
  </si>
  <si>
    <t>Sum of Revenue</t>
  </si>
  <si>
    <t>Sum of Clicks</t>
  </si>
  <si>
    <t>Sum of ROAS</t>
  </si>
  <si>
    <t>Sum of CPA</t>
  </si>
  <si>
    <t>Total Spend</t>
  </si>
  <si>
    <t>Total Revenue</t>
  </si>
  <si>
    <t>Overall ROAS</t>
  </si>
  <si>
    <t>Sep</t>
  </si>
  <si>
    <t>Oct</t>
  </si>
  <si>
    <t>Nov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</si>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</sst>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14" fontId="2" fillId="0" borderId="2" xfId="0" applyNumberFormat="1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3" fillId="0" borderId="6" xfId="0" applyFont="1" applyBorder="1" applyAlignment="1">
      <alignment vertical="center" wrapText="1" readingOrder="1"/>
    </xf>
    <xf numFmtId="14" fontId="2" fillId="0" borderId="7" xfId="0" applyNumberFormat="1" applyFont="1" applyBorder="1" applyAlignment="1">
      <alignment vertical="center" wrapText="1" readingOrder="1"/>
    </xf>
    <xf numFmtId="0" fontId="2" fillId="0" borderId="8" xfId="0" applyFont="1" applyBorder="1" applyAlignment="1">
      <alignment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[arketing_Dashboard_Prototype.xlsx]Analysis!PivotTable1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9E-4F62-994B-BCAFB72683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9E-4F62-994B-BCAFB72683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9E-4F62-994B-BCAFB72683CC}"/>
              </c:ext>
            </c:extLst>
          </c:dPt>
          <c:cat>
            <c:strRef>
              <c:f>Analysis!$A$4:$A$7</c:f>
              <c:strCache>
                <c:ptCount val="3"/>
                <c:pt idx="0">
                  <c:v>Facebook Ads</c:v>
                </c:pt>
                <c:pt idx="1">
                  <c:v>Google Ads</c:v>
                </c:pt>
                <c:pt idx="2">
                  <c:v>LinkedIn Ads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6400</c:v>
                </c:pt>
                <c:pt idx="1">
                  <c:v>9660</c:v>
                </c:pt>
                <c:pt idx="2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9E-4F62-994B-BCAFB72683CC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79E-4F62-994B-BCAFB72683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79E-4F62-994B-BCAFB72683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79E-4F62-994B-BCAFB72683CC}"/>
              </c:ext>
            </c:extLst>
          </c:dPt>
          <c:cat>
            <c:strRef>
              <c:f>Analysis!$A$4:$A$7</c:f>
              <c:strCache>
                <c:ptCount val="3"/>
                <c:pt idx="0">
                  <c:v>Facebook Ads</c:v>
                </c:pt>
                <c:pt idx="1">
                  <c:v>Google Ads</c:v>
                </c:pt>
                <c:pt idx="2">
                  <c:v>LinkedIn Ads</c:v>
                </c:pt>
              </c:strCache>
            </c:strRef>
          </c:cat>
          <c:val>
            <c:numRef>
              <c:f>Analysis!$C$4:$C$7</c:f>
              <c:numCache>
                <c:formatCode>General</c:formatCode>
                <c:ptCount val="3"/>
                <c:pt idx="0">
                  <c:v>9750</c:v>
                </c:pt>
                <c:pt idx="1">
                  <c:v>7950</c:v>
                </c:pt>
                <c:pt idx="2">
                  <c:v>1910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79E-4F62-994B-BCAFB72683CC}"/>
            </c:ext>
          </c:extLst>
        </c:ser>
        <c:ser>
          <c:idx val="2"/>
          <c:order val="2"/>
          <c:tx>
            <c:strRef>
              <c:f>Analysis!$D$3</c:f>
              <c:strCache>
                <c:ptCount val="1"/>
                <c:pt idx="0">
                  <c:v>Sum of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9E-4F62-994B-BCAFB72683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9E-4F62-994B-BCAFB72683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9E-4F62-994B-BCAFB72683CC}"/>
              </c:ext>
            </c:extLst>
          </c:dPt>
          <c:cat>
            <c:strRef>
              <c:f>Analysis!$A$4:$A$7</c:f>
              <c:strCache>
                <c:ptCount val="3"/>
                <c:pt idx="0">
                  <c:v>Facebook Ads</c:v>
                </c:pt>
                <c:pt idx="1">
                  <c:v>Google Ads</c:v>
                </c:pt>
                <c:pt idx="2">
                  <c:v>LinkedIn Ads</c:v>
                </c:pt>
              </c:strCache>
            </c:strRef>
          </c:cat>
          <c:val>
            <c:numRef>
              <c:f>Analysis!$D$4:$D$7</c:f>
              <c:numCache>
                <c:formatCode>General</c:formatCode>
                <c:ptCount val="3"/>
                <c:pt idx="0">
                  <c:v>4690</c:v>
                </c:pt>
                <c:pt idx="1">
                  <c:v>3985</c:v>
                </c:pt>
                <c:pt idx="2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79E-4F62-994B-BCAFB72683CC}"/>
            </c:ext>
          </c:extLst>
        </c:ser>
        <c:ser>
          <c:idx val="3"/>
          <c:order val="3"/>
          <c:tx>
            <c:strRef>
              <c:f>Analysis!$E$3</c:f>
              <c:strCache>
                <c:ptCount val="1"/>
                <c:pt idx="0">
                  <c:v>Sum of ROAS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79E-4F62-994B-BCAFB72683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79E-4F62-994B-BCAFB72683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679E-4F62-994B-BCAFB72683CC}"/>
              </c:ext>
            </c:extLst>
          </c:dPt>
          <c:cat>
            <c:strRef>
              <c:f>Analysis!$A$4:$A$7</c:f>
              <c:strCache>
                <c:ptCount val="3"/>
                <c:pt idx="0">
                  <c:v>Facebook Ads</c:v>
                </c:pt>
                <c:pt idx="1">
                  <c:v>Google Ads</c:v>
                </c:pt>
                <c:pt idx="2">
                  <c:v>LinkedIn Ads</c:v>
                </c:pt>
              </c:strCache>
            </c:strRef>
          </c:cat>
          <c:val>
            <c:numRef>
              <c:f>Analysis!$E$4:$E$7</c:f>
              <c:numCache>
                <c:formatCode>General</c:formatCode>
                <c:ptCount val="3"/>
                <c:pt idx="0">
                  <c:v>1.3646055437100213</c:v>
                </c:pt>
                <c:pt idx="1">
                  <c:v>2.4240903387703892</c:v>
                </c:pt>
                <c:pt idx="2">
                  <c:v>1.5593220338983051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79E-4F62-994B-BCAFB72683CC}"/>
            </c:ext>
          </c:extLst>
        </c:ser>
        <c:ser>
          <c:idx val="4"/>
          <c:order val="4"/>
          <c:tx>
            <c:strRef>
              <c:f>Analysis!$F$3</c:f>
              <c:strCache>
                <c:ptCount val="1"/>
                <c:pt idx="0">
                  <c:v>Sum of CPA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79E-4F62-994B-BCAFB72683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79E-4F62-994B-BCAFB72683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79E-4F62-994B-BCAFB72683CC}"/>
              </c:ext>
            </c:extLst>
          </c:dPt>
          <c:cat>
            <c:strRef>
              <c:f>Analysis!$A$4:$A$7</c:f>
              <c:strCache>
                <c:ptCount val="3"/>
                <c:pt idx="0">
                  <c:v>Facebook Ads</c:v>
                </c:pt>
                <c:pt idx="1">
                  <c:v>Google Ads</c:v>
                </c:pt>
                <c:pt idx="2">
                  <c:v>LinkedIn Ads</c:v>
                </c:pt>
              </c:strCache>
            </c:strRef>
          </c:cat>
          <c:val>
            <c:numRef>
              <c:f>Analysis!$F$4:$F$7</c:f>
              <c:numCache>
                <c:formatCode>General</c:formatCode>
                <c:ptCount val="3"/>
                <c:pt idx="0">
                  <c:v>14.702194357366771</c:v>
                </c:pt>
                <c:pt idx="1">
                  <c:v>9.8883374689826304</c:v>
                </c:pt>
                <c:pt idx="2">
                  <c:v>2.820267686424474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79E-4F62-994B-BCAFB7268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[arketing_Dashboard_Prototype.xlsx]Analysis!PivotTable4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025371828521428E-2"/>
          <c:y val="0.14712744240303297"/>
          <c:w val="0.63298797025371834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Analysis!$B$20:$B$21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Analysis!$A$22:$A$25</c:f>
              <c:strCache>
                <c:ptCount val="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</c:strCache>
            </c:strRef>
          </c:cat>
          <c:val>
            <c:numRef>
              <c:f>Analysis!$B$22:$B$25</c:f>
              <c:numCache>
                <c:formatCode>General</c:formatCode>
                <c:ptCount val="3"/>
                <c:pt idx="0">
                  <c:v>2950</c:v>
                </c:pt>
                <c:pt idx="1">
                  <c:v>3340</c:v>
                </c:pt>
                <c:pt idx="2">
                  <c:v>3460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7-4E9E-9165-D7BB0BDA5100}"/>
            </c:ext>
          </c:extLst>
        </c:ser>
        <c:ser>
          <c:idx val="1"/>
          <c:order val="1"/>
          <c:tx>
            <c:strRef>
              <c:f>Analysis!$C$20:$C$21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Analysis!$A$22:$A$25</c:f>
              <c:strCache>
                <c:ptCount val="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</c:strCache>
            </c:strRef>
          </c:cat>
          <c:val>
            <c:numRef>
              <c:f>Analysis!$C$22:$C$25</c:f>
              <c:numCache>
                <c:formatCode>General</c:formatCode>
                <c:ptCount val="3"/>
                <c:pt idx="0">
                  <c:v>2330</c:v>
                </c:pt>
                <c:pt idx="1">
                  <c:v>2740</c:v>
                </c:pt>
                <c:pt idx="2">
                  <c:v>2880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7-4E9E-9165-D7BB0BDA5100}"/>
            </c:ext>
          </c:extLst>
        </c:ser>
        <c:ser>
          <c:idx val="2"/>
          <c:order val="2"/>
          <c:tx>
            <c:strRef>
              <c:f>Analysis!$D$20:$D$21</c:f>
              <c:strCache>
                <c:ptCount val="1"/>
                <c:pt idx="0">
                  <c:v>LinkedIn Ads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Analysis!$A$22:$A$25</c:f>
              <c:strCache>
                <c:ptCount val="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</c:strCache>
            </c:strRef>
          </c:cat>
          <c:val>
            <c:numRef>
              <c:f>Analysis!$D$22:$D$25</c:f>
              <c:numCache>
                <c:formatCode>General</c:formatCode>
                <c:ptCount val="3"/>
                <c:pt idx="1">
                  <c:v>1140</c:v>
                </c:pt>
                <c:pt idx="2">
                  <c:v>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7-4E9E-9165-D7BB0BDA5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017471"/>
        <c:axId val="948022271"/>
      </c:lineChart>
      <c:catAx>
        <c:axId val="9480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022271"/>
        <c:crosses val="autoZero"/>
        <c:auto val="1"/>
        <c:lblAlgn val="ctr"/>
        <c:lblOffset val="100"/>
        <c:noMultiLvlLbl val="0"/>
      </c:catAx>
      <c:valAx>
        <c:axId val="94802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01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272955</xdr:colOff>
      <xdr:row>4</xdr:row>
      <xdr:rowOff>34120</xdr:rowOff>
    </xdr:from>
    <xdr:to>
      <xdr:col>8</xdr:col>
      <xdr:colOff>40943</xdr:colOff>
      <xdr:row>19</xdr:row>
      <xdr:rowOff>116007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E1ACF-9D3A-44BB-9AB3-D29EDA82C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450376</xdr:colOff>
      <xdr:row>4</xdr:row>
      <xdr:rowOff>40942</xdr:rowOff>
    </xdr:from>
    <xdr:to>
      <xdr:col>16</xdr:col>
      <xdr:colOff>218364</xdr:colOff>
      <xdr:row>19</xdr:row>
      <xdr:rowOff>122829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72FDE5-3871-440E-BC58-184AD08BB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116005</xdr:colOff>
      <xdr:row>21</xdr:row>
      <xdr:rowOff>136477</xdr:rowOff>
    </xdr:from>
    <xdr:to>
      <xdr:col>14</xdr:col>
      <xdr:colOff>116005</xdr:colOff>
      <xdr:row>24</xdr:row>
      <xdr:rowOff>150126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1C97E1-B6F3-7885-8344-58351F28216B}"/>
            </a:ext>
          </a:extLst>
        </xdr:cNvPr>
        <xdr:cNvSpPr txBox="1"/>
      </xdr:nvSpPr>
      <xdr:spPr>
        <a:xfrm>
          <a:off x="2518011" y="3862316"/>
          <a:ext cx="6005015" cy="5459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PROTOTYPE NOTES: Logic validated in Excel. Migrated to SQL/React for production to handle dynamic date filtering and &gt;1M row scalability.</a:t>
          </a:r>
          <a:endParaRPr lang="en-IN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1.481020486113" createdVersion="8" refreshedVersion="8" minRefreshableVersion="3" recordCount="32" xr:uid="{7CAD12A4-4375-4685-9898-EF9E88B785A0}">
  <cacheSource type="worksheet">
    <worksheetSource name="Table1"/>
  </cacheSource>
  <cacheFields count="11">
    <cacheField name="Date" numFmtId="14">
      <sharedItems containsSemiMixedTypes="0" containsNonDate="0" containsDate="1" containsString="0" minDate="2025-09-05T00:00:00" maxDate="2025-11-08T00:00:00" count="15">
        <d v="2025-09-05T00:00:00"/>
        <d v="2025-09-12T00:00:00"/>
        <d v="2025-09-19T00:00:00"/>
        <d v="2025-09-26T00:00:00"/>
        <d v="2025-10-03T00:00:00"/>
        <d v="2025-10-10T00:00:00"/>
        <d v="2025-10-17T00:00:00"/>
        <d v="2025-10-24T00:00:00"/>
        <d v="2025-11-01T00:00:00"/>
        <d v="2025-11-02T00:00:00"/>
        <d v="2025-11-03T00:00:00"/>
        <d v="2025-11-04T00:00:00"/>
        <d v="2025-11-05T00:00:00"/>
        <d v="2025-11-06T00:00:00"/>
        <d v="2025-11-07T00:00:00"/>
      </sharedItems>
      <fieldGroup par="10"/>
    </cacheField>
    <cacheField name="Channel" numFmtId="0">
      <sharedItems count="3">
        <s v="Google Ads"/>
        <s v="Facebook Ads"/>
        <s v="LinkedIn Ads"/>
      </sharedItems>
    </cacheField>
    <cacheField name="Impressions" numFmtId="0">
      <sharedItems containsSemiMixedTypes="0" containsString="0" containsNumber="1" containsInteger="1" minValue="450" maxValue="20000"/>
    </cacheField>
    <cacheField name="Clicks" numFmtId="0">
      <sharedItems containsSemiMixedTypes="0" containsString="0" containsNumber="1" containsInteger="1" minValue="250" maxValue="900"/>
    </cacheField>
    <cacheField name="Cost" numFmtId="0">
      <sharedItems containsSemiMixedTypes="0" containsString="0" containsNumber="1" containsInteger="1" minValue="180" maxValue="450"/>
    </cacheField>
    <cacheField name="Conversions" numFmtId="0">
      <sharedItems containsSemiMixedTypes="0" containsString="0" containsNumber="1" containsInteger="1" minValue="10" maxValue="450"/>
    </cacheField>
    <cacheField name="Revenue" numFmtId="0">
      <sharedItems containsSemiMixedTypes="0" containsString="0" containsNumber="1" containsInteger="1" minValue="300" maxValue="1100"/>
    </cacheField>
    <cacheField name="ROAS" numFmtId="0" formula="Revenue /Cost" databaseField="0"/>
    <cacheField name="CPA" numFmtId="0" formula="Cost /Conversions" databaseField="0"/>
    <cacheField name="Days (Date)" numFmtId="0" databaseField="0">
      <fieldGroup base="0">
        <rangePr groupBy="days" startDate="2025-09-05T00:00:00" endDate="2025-11-08T00:00:00"/>
        <groupItems count="368">
          <s v="&lt;05-09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8-11-2025"/>
        </groupItems>
      </fieldGroup>
    </cacheField>
    <cacheField name="Months (Date)" numFmtId="0" databaseField="0">
      <fieldGroup base="0">
        <rangePr groupBy="months" startDate="2025-09-05T00:00:00" endDate="2025-11-08T00:00:00"/>
        <groupItems count="14">
          <s v="&lt;05-09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11000"/>
    <n v="550"/>
    <n v="280"/>
    <n v="25"/>
    <n v="600"/>
  </r>
  <r>
    <x v="0"/>
    <x v="1"/>
    <n v="15000"/>
    <n v="700"/>
    <n v="310"/>
    <n v="20"/>
    <n v="450"/>
  </r>
  <r>
    <x v="1"/>
    <x v="0"/>
    <n v="11500"/>
    <n v="570"/>
    <n v="290"/>
    <n v="28"/>
    <n v="650"/>
  </r>
  <r>
    <x v="1"/>
    <x v="1"/>
    <n v="15500"/>
    <n v="720"/>
    <n v="320"/>
    <n v="22"/>
    <n v="480"/>
  </r>
  <r>
    <x v="2"/>
    <x v="0"/>
    <n v="12000"/>
    <n v="600"/>
    <n v="300"/>
    <n v="30"/>
    <n v="750"/>
  </r>
  <r>
    <x v="2"/>
    <x v="1"/>
    <n v="16000"/>
    <n v="750"/>
    <n v="330"/>
    <n v="24"/>
    <n v="500"/>
  </r>
  <r>
    <x v="3"/>
    <x v="0"/>
    <n v="12200"/>
    <n v="610"/>
    <n v="305"/>
    <n v="32"/>
    <n v="780"/>
  </r>
  <r>
    <x v="3"/>
    <x v="1"/>
    <n v="16500"/>
    <n v="780"/>
    <n v="340"/>
    <n v="25"/>
    <n v="510"/>
  </r>
  <r>
    <x v="4"/>
    <x v="0"/>
    <n v="13000"/>
    <n v="650"/>
    <n v="320"/>
    <n v="35"/>
    <n v="850"/>
  </r>
  <r>
    <x v="4"/>
    <x v="1"/>
    <n v="18000"/>
    <n v="800"/>
    <n v="400"/>
    <n v="28"/>
    <n v="550"/>
  </r>
  <r>
    <x v="4"/>
    <x v="2"/>
    <n v="7000"/>
    <n v="250"/>
    <n v="180"/>
    <n v="10"/>
    <n v="300"/>
  </r>
  <r>
    <x v="5"/>
    <x v="0"/>
    <n v="13500"/>
    <n v="680"/>
    <n v="340"/>
    <n v="38"/>
    <n v="900"/>
  </r>
  <r>
    <x v="5"/>
    <x v="1"/>
    <n v="18500"/>
    <n v="820"/>
    <n v="410"/>
    <n v="30"/>
    <n v="580"/>
  </r>
  <r>
    <x v="5"/>
    <x v="2"/>
    <n v="7500"/>
    <n v="280"/>
    <n v="200"/>
    <n v="14"/>
    <n v="350"/>
  </r>
  <r>
    <x v="6"/>
    <x v="0"/>
    <n v="14000"/>
    <n v="700"/>
    <n v="350"/>
    <n v="40"/>
    <n v="950"/>
  </r>
  <r>
    <x v="6"/>
    <x v="1"/>
    <n v="19000"/>
    <n v="850"/>
    <n v="420"/>
    <n v="32"/>
    <n v="600"/>
  </r>
  <r>
    <x v="6"/>
    <x v="2"/>
    <n v="8000"/>
    <n v="300"/>
    <n v="210"/>
    <n v="15"/>
    <n v="380"/>
  </r>
  <r>
    <x v="7"/>
    <x v="0"/>
    <n v="14200"/>
    <n v="710"/>
    <n v="355"/>
    <n v="42"/>
    <n v="980"/>
  </r>
  <r>
    <x v="7"/>
    <x v="1"/>
    <n v="19500"/>
    <n v="870"/>
    <n v="430"/>
    <n v="33"/>
    <n v="610"/>
  </r>
  <r>
    <x v="7"/>
    <x v="2"/>
    <n v="8200"/>
    <n v="310"/>
    <n v="215"/>
    <n v="16"/>
    <n v="400"/>
  </r>
  <r>
    <x v="8"/>
    <x v="0"/>
    <n v="10000"/>
    <n v="500"/>
    <n v="250"/>
    <n v="20"/>
    <n v="450"/>
  </r>
  <r>
    <x v="8"/>
    <x v="1"/>
    <n v="12000"/>
    <n v="600"/>
    <n v="300"/>
    <n v="15"/>
    <n v="310"/>
  </r>
  <r>
    <x v="9"/>
    <x v="0"/>
    <n v="11000"/>
    <n v="550"/>
    <n v="275"/>
    <n v="22"/>
    <n v="500"/>
  </r>
  <r>
    <x v="9"/>
    <x v="1"/>
    <n v="13000"/>
    <n v="650"/>
    <n v="325"/>
    <n v="18"/>
    <n v="330"/>
  </r>
  <r>
    <x v="10"/>
    <x v="0"/>
    <n v="10500"/>
    <n v="520"/>
    <n v="260"/>
    <n v="21"/>
    <n v="550"/>
  </r>
  <r>
    <x v="10"/>
    <x v="1"/>
    <n v="12500"/>
    <n v="630"/>
    <n v="315"/>
    <n v="17"/>
    <n v="350"/>
  </r>
  <r>
    <x v="11"/>
    <x v="0"/>
    <n v="11200"/>
    <n v="560"/>
    <n v="280"/>
    <n v="25"/>
    <n v="600"/>
  </r>
  <r>
    <x v="11"/>
    <x v="1"/>
    <n v="13500"/>
    <n v="680"/>
    <n v="340"/>
    <n v="20"/>
    <n v="480"/>
  </r>
  <r>
    <x v="12"/>
    <x v="2"/>
    <n v="8500"/>
    <n v="320"/>
    <n v="220"/>
    <n v="18"/>
    <n v="420"/>
  </r>
  <r>
    <x v="13"/>
    <x v="0"/>
    <n v="15000"/>
    <n v="750"/>
    <n v="380"/>
    <n v="45"/>
    <n v="1100"/>
  </r>
  <r>
    <x v="13"/>
    <x v="1"/>
    <n v="20000"/>
    <n v="900"/>
    <n v="450"/>
    <n v="35"/>
    <n v="650"/>
  </r>
  <r>
    <x v="14"/>
    <x v="2"/>
    <n v="450"/>
    <n v="450"/>
    <n v="450"/>
    <n v="450"/>
    <n v="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BC8D6-0779-4A67-8F22-52D7335212B3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0:E25" firstHeaderRow="1" firstDataRow="2" firstDataCol="1"/>
  <pivotFields count="11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0"/>
  </rowFields>
  <rowItems count="4"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Clicks" fld="3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51C28-F1E2-42CA-ADB3-9142E469B0B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7" firstHeaderRow="0" firstDataRow="1" firstDataCol="1"/>
  <pivotFields count="11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6" baseField="0" baseItem="0"/>
    <dataField name="Sum of Clicks" fld="3" baseField="0" baseItem="0"/>
    <dataField name="Sum of Cost" fld="4" baseField="0" baseItem="0"/>
    <dataField name="Sum of ROAS" fld="7" baseField="0" baseItem="0"/>
    <dataField name="Sum of CPA" fld="8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3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3" format="4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26B03-B145-4E39-AD81-F4E5E35625D4}" name="Table1" displayName="Table1" ref="A1:G33" totalsRowShown="0" headerRowDxfId="0" dataDxfId="1" headerRowBorderDxfId="10" tableBorderDxfId="11" totalsRowBorderDxfId="9">
  <autoFilter ref="A1:G33" xr:uid="{8FB26B03-B145-4E39-AD81-F4E5E35625D4}"/>
  <tableColumns count="7">
    <tableColumn id="1" xr3:uid="{0630262A-527F-4C9B-A2CD-83CF44ECF136}" name="Date" dataDxfId="8"/>
    <tableColumn id="2" xr3:uid="{FABF2F2D-30AC-4437-BA2B-EB3D24EDEEF9}" name="Channel" dataDxfId="7"/>
    <tableColumn id="3" xr3:uid="{0D1D756C-24E8-455C-A033-7A292CA90F62}" name="Impressions" dataDxfId="6"/>
    <tableColumn id="4" xr3:uid="{7979F6B7-FF29-4CFD-902D-1FF80AEEF35E}" name="Clicks" dataDxfId="5"/>
    <tableColumn id="5" xr3:uid="{18BBB981-4A29-4A0C-87E3-4255D103DF10}" name="Cost" dataDxfId="4"/>
    <tableColumn id="6" xr3:uid="{05A309B6-9D16-4207-B51D-BB61D83DEF3B}" name="Conversions" dataDxfId="3"/>
    <tableColumn id="7" xr3:uid="{788EB907-CD1B-4640-B28A-EE0057AB3FC9}" name="Re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6BF0-EF29-4E7E-884A-E3311239BD68}">
  <dimension ref="A3:F25"/>
  <sheetViews>
    <sheetView workbookViewId="0">
      <selection activeCell="A19" sqref="A19"/>
    </sheetView>
  </sheetViews>
  <sheetFormatPr defaultRowHeight="14" x14ac:dyDescent="0.3"/>
  <cols>
    <col min="1" max="1" width="12.59765625" bestFit="1" customWidth="1"/>
    <col min="2" max="2" width="15.5" bestFit="1" customWidth="1"/>
    <col min="3" max="3" width="10.3984375" bestFit="1" customWidth="1"/>
    <col min="4" max="4" width="11.59765625" bestFit="1" customWidth="1"/>
    <col min="5" max="5" width="10.8984375" bestFit="1" customWidth="1"/>
    <col min="6" max="6" width="11.8984375" bestFit="1" customWidth="1"/>
  </cols>
  <sheetData>
    <row r="3" spans="1:6" x14ac:dyDescent="0.3">
      <c r="A3" s="10" t="s">
        <v>10</v>
      </c>
      <c r="B3" t="s">
        <v>13</v>
      </c>
      <c r="C3" t="s">
        <v>14</v>
      </c>
      <c r="D3" t="s">
        <v>12</v>
      </c>
      <c r="E3" t="s">
        <v>15</v>
      </c>
      <c r="F3" t="s">
        <v>16</v>
      </c>
    </row>
    <row r="4" spans="1:6" x14ac:dyDescent="0.3">
      <c r="A4" s="11" t="s">
        <v>8</v>
      </c>
      <c r="B4" s="12">
        <v>6400</v>
      </c>
      <c r="C4" s="12">
        <v>9750</v>
      </c>
      <c r="D4" s="12">
        <v>4690</v>
      </c>
      <c r="E4" s="12">
        <v>1.3646055437100213</v>
      </c>
      <c r="F4" s="12">
        <v>14.702194357366771</v>
      </c>
    </row>
    <row r="5" spans="1:6" x14ac:dyDescent="0.3">
      <c r="A5" s="11" t="s">
        <v>7</v>
      </c>
      <c r="B5" s="12">
        <v>9660</v>
      </c>
      <c r="C5" s="12">
        <v>7950</v>
      </c>
      <c r="D5" s="12">
        <v>3985</v>
      </c>
      <c r="E5" s="12">
        <v>2.4240903387703892</v>
      </c>
      <c r="F5" s="12">
        <v>9.8883374689826304</v>
      </c>
    </row>
    <row r="6" spans="1:6" x14ac:dyDescent="0.3">
      <c r="A6" s="11" t="s">
        <v>9</v>
      </c>
      <c r="B6" s="12">
        <v>2300</v>
      </c>
      <c r="C6" s="12">
        <v>1910</v>
      </c>
      <c r="D6" s="12">
        <v>1475</v>
      </c>
      <c r="E6" s="12">
        <v>1.5593220338983051</v>
      </c>
      <c r="F6" s="12">
        <v>2.820267686424474</v>
      </c>
    </row>
    <row r="7" spans="1:6" x14ac:dyDescent="0.3">
      <c r="A7" s="11" t="s">
        <v>11</v>
      </c>
      <c r="B7" s="12">
        <v>18360</v>
      </c>
      <c r="C7" s="12">
        <v>19610</v>
      </c>
      <c r="D7" s="12">
        <v>10150</v>
      </c>
      <c r="E7" s="12">
        <v>1.8088669950738916</v>
      </c>
      <c r="F7" s="12">
        <v>8.1526104417670684</v>
      </c>
    </row>
    <row r="20" spans="1:5" x14ac:dyDescent="0.3">
      <c r="A20" s="10" t="s">
        <v>14</v>
      </c>
      <c r="B20" s="10" t="s">
        <v>23</v>
      </c>
    </row>
    <row r="21" spans="1:5" x14ac:dyDescent="0.3">
      <c r="A21" s="10" t="s">
        <v>10</v>
      </c>
      <c r="B21" t="s">
        <v>8</v>
      </c>
      <c r="C21" t="s">
        <v>7</v>
      </c>
      <c r="D21" t="s">
        <v>9</v>
      </c>
      <c r="E21" t="s">
        <v>11</v>
      </c>
    </row>
    <row r="22" spans="1:5" x14ac:dyDescent="0.3">
      <c r="A22" s="11" t="s">
        <v>20</v>
      </c>
      <c r="B22" s="12">
        <v>2950</v>
      </c>
      <c r="C22" s="12">
        <v>2330</v>
      </c>
      <c r="D22" s="12"/>
      <c r="E22" s="12">
        <v>5280</v>
      </c>
    </row>
    <row r="23" spans="1:5" x14ac:dyDescent="0.3">
      <c r="A23" s="11" t="s">
        <v>21</v>
      </c>
      <c r="B23" s="12">
        <v>3340</v>
      </c>
      <c r="C23" s="12">
        <v>2740</v>
      </c>
      <c r="D23" s="12">
        <v>1140</v>
      </c>
      <c r="E23" s="12">
        <v>7220</v>
      </c>
    </row>
    <row r="24" spans="1:5" x14ac:dyDescent="0.3">
      <c r="A24" s="11" t="s">
        <v>22</v>
      </c>
      <c r="B24" s="12">
        <v>3460</v>
      </c>
      <c r="C24" s="12">
        <v>2880</v>
      </c>
      <c r="D24" s="12">
        <v>770</v>
      </c>
      <c r="E24" s="12">
        <v>7110</v>
      </c>
    </row>
    <row r="25" spans="1:5" x14ac:dyDescent="0.3">
      <c r="A25" s="11" t="s">
        <v>11</v>
      </c>
      <c r="B25" s="12">
        <v>9750</v>
      </c>
      <c r="C25" s="12">
        <v>7950</v>
      </c>
      <c r="D25" s="12">
        <v>1910</v>
      </c>
      <c r="E25" s="12">
        <v>19610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9A65-C8C5-49C4-BAFD-1BC5E8FE5D99}">
  <dimension ref="B2:F3"/>
  <sheetViews>
    <sheetView showGridLines="0" tabSelected="1" zoomScaleNormal="100" workbookViewId="0">
      <selection activeCell="S15" sqref="S15"/>
    </sheetView>
  </sheetViews>
  <sheetFormatPr defaultRowHeight="14" x14ac:dyDescent="0.3"/>
  <sheetData>
    <row r="2" spans="2:6" x14ac:dyDescent="0.3">
      <c r="B2" s="13" t="s">
        <v>17</v>
      </c>
      <c r="D2" s="13" t="s">
        <v>18</v>
      </c>
      <c r="F2" s="13" t="s">
        <v>19</v>
      </c>
    </row>
    <row r="3" spans="2:6" x14ac:dyDescent="0.3">
      <c r="B3">
        <f>GETPIVOTDATA("Sum of Cost",Analysis!$A$3)</f>
        <v>10150</v>
      </c>
      <c r="D3">
        <f>GETPIVOTDATA("Sum of Revenue",Analysis!$A$3)</f>
        <v>18360</v>
      </c>
      <c r="F3">
        <f>D3/B3</f>
        <v>1.8088669950738916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F00E-4188-4983-BE5D-5D5C803418CA}">
  <dimension ref="A1:G33"/>
  <sheetViews>
    <sheetView topLeftCell="A2" workbookViewId="0">
      <selection activeCell="G33" sqref="A1:G33"/>
    </sheetView>
  </sheetViews>
  <sheetFormatPr defaultRowHeight="14" x14ac:dyDescent="0.3"/>
  <cols>
    <col min="1" max="1" width="11.09765625" bestFit="1" customWidth="1"/>
    <col min="2" max="2" width="10.59765625" customWidth="1"/>
    <col min="3" max="3" width="14.3984375" customWidth="1"/>
    <col min="6" max="6" width="14.796875" customWidth="1"/>
    <col min="7" max="7" width="11.09765625" customWidth="1"/>
  </cols>
  <sheetData>
    <row r="1" spans="1:7" ht="14.5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27.4" thickBot="1" x14ac:dyDescent="0.35">
      <c r="A2" s="2">
        <v>45905</v>
      </c>
      <c r="B2" s="1" t="s">
        <v>7</v>
      </c>
      <c r="C2" s="1">
        <v>11000</v>
      </c>
      <c r="D2" s="1">
        <v>550</v>
      </c>
      <c r="E2" s="1">
        <v>280</v>
      </c>
      <c r="F2" s="1">
        <v>25</v>
      </c>
      <c r="G2" s="3">
        <v>600</v>
      </c>
    </row>
    <row r="3" spans="1:7" ht="27.4" thickBot="1" x14ac:dyDescent="0.35">
      <c r="A3" s="2">
        <v>45905</v>
      </c>
      <c r="B3" s="1" t="s">
        <v>8</v>
      </c>
      <c r="C3" s="1">
        <v>15000</v>
      </c>
      <c r="D3" s="1">
        <v>700</v>
      </c>
      <c r="E3" s="1">
        <v>310</v>
      </c>
      <c r="F3" s="1">
        <v>20</v>
      </c>
      <c r="G3" s="3">
        <v>450</v>
      </c>
    </row>
    <row r="4" spans="1:7" ht="27.4" thickBot="1" x14ac:dyDescent="0.35">
      <c r="A4" s="2">
        <v>45912</v>
      </c>
      <c r="B4" s="1" t="s">
        <v>7</v>
      </c>
      <c r="C4" s="1">
        <v>11500</v>
      </c>
      <c r="D4" s="1">
        <v>570</v>
      </c>
      <c r="E4" s="1">
        <v>290</v>
      </c>
      <c r="F4" s="1">
        <v>28</v>
      </c>
      <c r="G4" s="3">
        <v>650</v>
      </c>
    </row>
    <row r="5" spans="1:7" ht="27.4" thickBot="1" x14ac:dyDescent="0.35">
      <c r="A5" s="2">
        <v>45912</v>
      </c>
      <c r="B5" s="1" t="s">
        <v>8</v>
      </c>
      <c r="C5" s="1">
        <v>15500</v>
      </c>
      <c r="D5" s="1">
        <v>720</v>
      </c>
      <c r="E5" s="1">
        <v>320</v>
      </c>
      <c r="F5" s="1">
        <v>22</v>
      </c>
      <c r="G5" s="3">
        <v>480</v>
      </c>
    </row>
    <row r="6" spans="1:7" ht="27.4" thickBot="1" x14ac:dyDescent="0.35">
      <c r="A6" s="2">
        <v>45919</v>
      </c>
      <c r="B6" s="1" t="s">
        <v>7</v>
      </c>
      <c r="C6" s="1">
        <v>12000</v>
      </c>
      <c r="D6" s="1">
        <v>600</v>
      </c>
      <c r="E6" s="1">
        <v>300</v>
      </c>
      <c r="F6" s="1">
        <v>30</v>
      </c>
      <c r="G6" s="3">
        <v>750</v>
      </c>
    </row>
    <row r="7" spans="1:7" ht="27.4" thickBot="1" x14ac:dyDescent="0.35">
      <c r="A7" s="2">
        <v>45919</v>
      </c>
      <c r="B7" s="1" t="s">
        <v>8</v>
      </c>
      <c r="C7" s="1">
        <v>16000</v>
      </c>
      <c r="D7" s="1">
        <v>750</v>
      </c>
      <c r="E7" s="1">
        <v>330</v>
      </c>
      <c r="F7" s="1">
        <v>24</v>
      </c>
      <c r="G7" s="3">
        <v>500</v>
      </c>
    </row>
    <row r="8" spans="1:7" ht="27.4" thickBot="1" x14ac:dyDescent="0.35">
      <c r="A8" s="2">
        <v>45926</v>
      </c>
      <c r="B8" s="1" t="s">
        <v>7</v>
      </c>
      <c r="C8" s="1">
        <v>12200</v>
      </c>
      <c r="D8" s="1">
        <v>610</v>
      </c>
      <c r="E8" s="1">
        <v>305</v>
      </c>
      <c r="F8" s="1">
        <v>32</v>
      </c>
      <c r="G8" s="3">
        <v>780</v>
      </c>
    </row>
    <row r="9" spans="1:7" ht="27.4" thickBot="1" x14ac:dyDescent="0.35">
      <c r="A9" s="2">
        <v>45926</v>
      </c>
      <c r="B9" s="1" t="s">
        <v>8</v>
      </c>
      <c r="C9" s="1">
        <v>16500</v>
      </c>
      <c r="D9" s="1">
        <v>780</v>
      </c>
      <c r="E9" s="1">
        <v>340</v>
      </c>
      <c r="F9" s="1">
        <v>25</v>
      </c>
      <c r="G9" s="3">
        <v>510</v>
      </c>
    </row>
    <row r="10" spans="1:7" ht="27.4" thickBot="1" x14ac:dyDescent="0.35">
      <c r="A10" s="2">
        <v>45933</v>
      </c>
      <c r="B10" s="1" t="s">
        <v>7</v>
      </c>
      <c r="C10" s="1">
        <v>13000</v>
      </c>
      <c r="D10" s="1">
        <v>650</v>
      </c>
      <c r="E10" s="1">
        <v>320</v>
      </c>
      <c r="F10" s="1">
        <v>35</v>
      </c>
      <c r="G10" s="3">
        <v>850</v>
      </c>
    </row>
    <row r="11" spans="1:7" ht="27.4" thickBot="1" x14ac:dyDescent="0.35">
      <c r="A11" s="2">
        <v>45933</v>
      </c>
      <c r="B11" s="1" t="s">
        <v>8</v>
      </c>
      <c r="C11" s="1">
        <v>18000</v>
      </c>
      <c r="D11" s="1">
        <v>800</v>
      </c>
      <c r="E11" s="1">
        <v>400</v>
      </c>
      <c r="F11" s="1">
        <v>28</v>
      </c>
      <c r="G11" s="3">
        <v>550</v>
      </c>
    </row>
    <row r="12" spans="1:7" ht="27.4" thickBot="1" x14ac:dyDescent="0.35">
      <c r="A12" s="2">
        <v>45933</v>
      </c>
      <c r="B12" s="1" t="s">
        <v>9</v>
      </c>
      <c r="C12" s="1">
        <v>7000</v>
      </c>
      <c r="D12" s="1">
        <v>250</v>
      </c>
      <c r="E12" s="1">
        <v>180</v>
      </c>
      <c r="F12" s="1">
        <v>10</v>
      </c>
      <c r="G12" s="3">
        <v>300</v>
      </c>
    </row>
    <row r="13" spans="1:7" ht="27.4" thickBot="1" x14ac:dyDescent="0.35">
      <c r="A13" s="2">
        <v>45940</v>
      </c>
      <c r="B13" s="1" t="s">
        <v>7</v>
      </c>
      <c r="C13" s="1">
        <v>13500</v>
      </c>
      <c r="D13" s="1">
        <v>680</v>
      </c>
      <c r="E13" s="1">
        <v>340</v>
      </c>
      <c r="F13" s="1">
        <v>38</v>
      </c>
      <c r="G13" s="3">
        <v>900</v>
      </c>
    </row>
    <row r="14" spans="1:7" ht="27.4" thickBot="1" x14ac:dyDescent="0.35">
      <c r="A14" s="2">
        <v>45940</v>
      </c>
      <c r="B14" s="1" t="s">
        <v>8</v>
      </c>
      <c r="C14" s="1">
        <v>18500</v>
      </c>
      <c r="D14" s="1">
        <v>820</v>
      </c>
      <c r="E14" s="1">
        <v>410</v>
      </c>
      <c r="F14" s="1">
        <v>30</v>
      </c>
      <c r="G14" s="3">
        <v>580</v>
      </c>
    </row>
    <row r="15" spans="1:7" ht="27.4" thickBot="1" x14ac:dyDescent="0.35">
      <c r="A15" s="2">
        <v>45940</v>
      </c>
      <c r="B15" s="1" t="s">
        <v>9</v>
      </c>
      <c r="C15" s="1">
        <v>7500</v>
      </c>
      <c r="D15" s="1">
        <v>280</v>
      </c>
      <c r="E15" s="1">
        <v>200</v>
      </c>
      <c r="F15" s="1">
        <v>14</v>
      </c>
      <c r="G15" s="3">
        <v>350</v>
      </c>
    </row>
    <row r="16" spans="1:7" ht="27.4" thickBot="1" x14ac:dyDescent="0.35">
      <c r="A16" s="2">
        <v>45947</v>
      </c>
      <c r="B16" s="1" t="s">
        <v>7</v>
      </c>
      <c r="C16" s="1">
        <v>14000</v>
      </c>
      <c r="D16" s="1">
        <v>700</v>
      </c>
      <c r="E16" s="1">
        <v>350</v>
      </c>
      <c r="F16" s="1">
        <v>40</v>
      </c>
      <c r="G16" s="3">
        <v>950</v>
      </c>
    </row>
    <row r="17" spans="1:7" ht="27.4" thickBot="1" x14ac:dyDescent="0.35">
      <c r="A17" s="2">
        <v>45947</v>
      </c>
      <c r="B17" s="1" t="s">
        <v>8</v>
      </c>
      <c r="C17" s="1">
        <v>19000</v>
      </c>
      <c r="D17" s="1">
        <v>850</v>
      </c>
      <c r="E17" s="1">
        <v>420</v>
      </c>
      <c r="F17" s="1">
        <v>32</v>
      </c>
      <c r="G17" s="3">
        <v>600</v>
      </c>
    </row>
    <row r="18" spans="1:7" ht="27.4" thickBot="1" x14ac:dyDescent="0.35">
      <c r="A18" s="2">
        <v>45947</v>
      </c>
      <c r="B18" s="1" t="s">
        <v>9</v>
      </c>
      <c r="C18" s="1">
        <v>8000</v>
      </c>
      <c r="D18" s="1">
        <v>300</v>
      </c>
      <c r="E18" s="1">
        <v>210</v>
      </c>
      <c r="F18" s="1">
        <v>15</v>
      </c>
      <c r="G18" s="3">
        <v>380</v>
      </c>
    </row>
    <row r="19" spans="1:7" ht="27.4" thickBot="1" x14ac:dyDescent="0.35">
      <c r="A19" s="2">
        <v>45954</v>
      </c>
      <c r="B19" s="1" t="s">
        <v>7</v>
      </c>
      <c r="C19" s="1">
        <v>14200</v>
      </c>
      <c r="D19" s="1">
        <v>710</v>
      </c>
      <c r="E19" s="1">
        <v>355</v>
      </c>
      <c r="F19" s="1">
        <v>42</v>
      </c>
      <c r="G19" s="3">
        <v>980</v>
      </c>
    </row>
    <row r="20" spans="1:7" ht="27.4" thickBot="1" x14ac:dyDescent="0.35">
      <c r="A20" s="2">
        <v>45954</v>
      </c>
      <c r="B20" s="1" t="s">
        <v>8</v>
      </c>
      <c r="C20" s="1">
        <v>19500</v>
      </c>
      <c r="D20" s="1">
        <v>870</v>
      </c>
      <c r="E20" s="1">
        <v>430</v>
      </c>
      <c r="F20" s="1">
        <v>33</v>
      </c>
      <c r="G20" s="3">
        <v>610</v>
      </c>
    </row>
    <row r="21" spans="1:7" ht="27.4" thickBot="1" x14ac:dyDescent="0.35">
      <c r="A21" s="2">
        <v>45954</v>
      </c>
      <c r="B21" s="1" t="s">
        <v>9</v>
      </c>
      <c r="C21" s="1">
        <v>8200</v>
      </c>
      <c r="D21" s="1">
        <v>310</v>
      </c>
      <c r="E21" s="1">
        <v>215</v>
      </c>
      <c r="F21" s="1">
        <v>16</v>
      </c>
      <c r="G21" s="3">
        <v>400</v>
      </c>
    </row>
    <row r="22" spans="1:7" ht="27.4" thickBot="1" x14ac:dyDescent="0.35">
      <c r="A22" s="2">
        <v>45962</v>
      </c>
      <c r="B22" s="1" t="s">
        <v>7</v>
      </c>
      <c r="C22" s="1">
        <v>10000</v>
      </c>
      <c r="D22" s="1">
        <v>500</v>
      </c>
      <c r="E22" s="1">
        <v>250</v>
      </c>
      <c r="F22" s="1">
        <v>20</v>
      </c>
      <c r="G22" s="3">
        <v>450</v>
      </c>
    </row>
    <row r="23" spans="1:7" ht="27.4" thickBot="1" x14ac:dyDescent="0.35">
      <c r="A23" s="2">
        <v>45962</v>
      </c>
      <c r="B23" s="1" t="s">
        <v>8</v>
      </c>
      <c r="C23" s="1">
        <v>12000</v>
      </c>
      <c r="D23" s="1">
        <v>600</v>
      </c>
      <c r="E23" s="1">
        <v>300</v>
      </c>
      <c r="F23" s="1">
        <v>15</v>
      </c>
      <c r="G23" s="3">
        <v>310</v>
      </c>
    </row>
    <row r="24" spans="1:7" ht="27.4" thickBot="1" x14ac:dyDescent="0.35">
      <c r="A24" s="2">
        <v>45963</v>
      </c>
      <c r="B24" s="1" t="s">
        <v>7</v>
      </c>
      <c r="C24" s="1">
        <v>11000</v>
      </c>
      <c r="D24" s="1">
        <v>550</v>
      </c>
      <c r="E24" s="1">
        <v>275</v>
      </c>
      <c r="F24" s="1">
        <v>22</v>
      </c>
      <c r="G24" s="3">
        <v>500</v>
      </c>
    </row>
    <row r="25" spans="1:7" ht="27.4" thickBot="1" x14ac:dyDescent="0.35">
      <c r="A25" s="2">
        <v>45963</v>
      </c>
      <c r="B25" s="1" t="s">
        <v>8</v>
      </c>
      <c r="C25" s="1">
        <v>13000</v>
      </c>
      <c r="D25" s="1">
        <v>650</v>
      </c>
      <c r="E25" s="1">
        <v>325</v>
      </c>
      <c r="F25" s="1">
        <v>18</v>
      </c>
      <c r="G25" s="3">
        <v>330</v>
      </c>
    </row>
    <row r="26" spans="1:7" ht="27.4" thickBot="1" x14ac:dyDescent="0.35">
      <c r="A26" s="2">
        <v>45964</v>
      </c>
      <c r="B26" s="1" t="s">
        <v>7</v>
      </c>
      <c r="C26" s="1">
        <v>10500</v>
      </c>
      <c r="D26" s="1">
        <v>520</v>
      </c>
      <c r="E26" s="1">
        <v>260</v>
      </c>
      <c r="F26" s="1">
        <v>21</v>
      </c>
      <c r="G26" s="3">
        <v>550</v>
      </c>
    </row>
    <row r="27" spans="1:7" ht="27.4" thickBot="1" x14ac:dyDescent="0.35">
      <c r="A27" s="2">
        <v>45964</v>
      </c>
      <c r="B27" s="1" t="s">
        <v>8</v>
      </c>
      <c r="C27" s="1">
        <v>12500</v>
      </c>
      <c r="D27" s="1">
        <v>630</v>
      </c>
      <c r="E27" s="1">
        <v>315</v>
      </c>
      <c r="F27" s="1">
        <v>17</v>
      </c>
      <c r="G27" s="3">
        <v>350</v>
      </c>
    </row>
    <row r="28" spans="1:7" ht="27.4" thickBot="1" x14ac:dyDescent="0.35">
      <c r="A28" s="2">
        <v>45965</v>
      </c>
      <c r="B28" s="1" t="s">
        <v>7</v>
      </c>
      <c r="C28" s="1">
        <v>11200</v>
      </c>
      <c r="D28" s="1">
        <v>560</v>
      </c>
      <c r="E28" s="1">
        <v>280</v>
      </c>
      <c r="F28" s="1">
        <v>25</v>
      </c>
      <c r="G28" s="3">
        <v>600</v>
      </c>
    </row>
    <row r="29" spans="1:7" ht="27.4" thickBot="1" x14ac:dyDescent="0.35">
      <c r="A29" s="2">
        <v>45965</v>
      </c>
      <c r="B29" s="1" t="s">
        <v>8</v>
      </c>
      <c r="C29" s="1">
        <v>13500</v>
      </c>
      <c r="D29" s="1">
        <v>680</v>
      </c>
      <c r="E29" s="1">
        <v>340</v>
      </c>
      <c r="F29" s="1">
        <v>20</v>
      </c>
      <c r="G29" s="3">
        <v>480</v>
      </c>
    </row>
    <row r="30" spans="1:7" ht="27.4" thickBot="1" x14ac:dyDescent="0.35">
      <c r="A30" s="2">
        <v>45966</v>
      </c>
      <c r="B30" s="1" t="s">
        <v>9</v>
      </c>
      <c r="C30" s="1">
        <v>8500</v>
      </c>
      <c r="D30" s="1">
        <v>320</v>
      </c>
      <c r="E30" s="1">
        <v>220</v>
      </c>
      <c r="F30" s="1">
        <v>18</v>
      </c>
      <c r="G30" s="3">
        <v>420</v>
      </c>
    </row>
    <row r="31" spans="1:7" ht="27.4" thickBot="1" x14ac:dyDescent="0.35">
      <c r="A31" s="2">
        <v>45967</v>
      </c>
      <c r="B31" s="1" t="s">
        <v>7</v>
      </c>
      <c r="C31" s="1">
        <v>15000</v>
      </c>
      <c r="D31" s="1">
        <v>750</v>
      </c>
      <c r="E31" s="1">
        <v>380</v>
      </c>
      <c r="F31" s="1">
        <v>45</v>
      </c>
      <c r="G31" s="3">
        <v>1100</v>
      </c>
    </row>
    <row r="32" spans="1:7" ht="27.4" thickBot="1" x14ac:dyDescent="0.35">
      <c r="A32" s="2">
        <v>45967</v>
      </c>
      <c r="B32" s="1" t="s">
        <v>8</v>
      </c>
      <c r="C32" s="1">
        <v>20000</v>
      </c>
      <c r="D32" s="1">
        <v>900</v>
      </c>
      <c r="E32" s="1">
        <v>450</v>
      </c>
      <c r="F32" s="1">
        <v>35</v>
      </c>
      <c r="G32" s="3">
        <v>650</v>
      </c>
    </row>
    <row r="33" spans="1:7" ht="26.9" x14ac:dyDescent="0.3">
      <c r="A33" s="7">
        <v>45968</v>
      </c>
      <c r="B33" s="8" t="s">
        <v>9</v>
      </c>
      <c r="C33" s="8">
        <v>450</v>
      </c>
      <c r="D33" s="8">
        <v>450</v>
      </c>
      <c r="E33" s="8">
        <v>450</v>
      </c>
      <c r="F33" s="8">
        <v>450</v>
      </c>
      <c r="G33" s="9">
        <v>450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Dashboard Prototype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Gummadi</dc:creator>
  <cp:lastModifiedBy>Mahesh Gummadi</cp:lastModifiedBy>
  <dcterms:created xsi:type="dcterms:W3CDTF">2025-11-30T05:47:40Z</dcterms:created>
  <dcterms:modified xsi:type="dcterms:W3CDTF">2025-11-30T07:02:51Z</dcterms:modified>
</cp:coreProperties>
</file>